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Danh sách hạng mục" sheetId="2" state="visible" r:id="rId4"/>
    <sheet name="Chưa kiểm tra" sheetId="3" state="visible" r:id="rId5"/>
  </sheets>
  <definedNames>
    <definedName function="false" hidden="true" localSheetId="1" name="_xlnm._FilterDatabase" vbProcedure="false">'Danh sách hạng mục'!$A$1:$J$41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<sst xmlns="http://schemas.openxmlformats.org/spreadsheetml/2006/main" count="389" uniqueCount="240">
  <si>
    <t xml:space="preserve">REVIEW CỜ TỶ PHÚ 3D – game-tuoi-tho.vercel.app</t>
  </si>
  <si>
    <t xml:space="preserve">Ngày review: 29/10/2026 · Chế độ test: Đấu với Bot (1 Bot) · ~13 lượt chơi · Trình duyệt Chrome desktop</t>
  </si>
  <si>
    <t xml:space="preserve">Thang mức độ</t>
  </si>
  <si>
    <t xml:space="preserve">P0</t>
  </si>
  <si>
    <t xml:space="preserve">Lỗi chặn / sai luật – sửa ngay trước mọi việc khác</t>
  </si>
  <si>
    <t xml:space="preserve">P1</t>
  </si>
  <si>
    <t xml:space="preserve">Ảnh hưởng mạnh trải nghiệm – sprint kế tiếp</t>
  </si>
  <si>
    <t xml:space="preserve">P2</t>
  </si>
  <si>
    <t xml:space="preserve">Nâng cấp chất lượng – nên làm</t>
  </si>
  <si>
    <t xml:space="preserve">P3</t>
  </si>
  <si>
    <t xml:space="preserve">Chi tiết nhỏ – làm khi rảnh</t>
  </si>
  <si>
    <t xml:space="preserve">Thống kê theo nhóm (tự cập nhật theo sheet 'Danh sách hạng mục')</t>
  </si>
  <si>
    <t xml:space="preserve">Nhóm</t>
  </si>
  <si>
    <t xml:space="preserve">Tổng</t>
  </si>
  <si>
    <t xml:space="preserve">Đã xong</t>
  </si>
  <si>
    <t xml:space="preserve">Lỗi gameplay</t>
  </si>
  <si>
    <t xml:space="preserve">Gameplay &amp; cân bằng</t>
  </si>
  <si>
    <t xml:space="preserve">Giao diện (UI/UX)</t>
  </si>
  <si>
    <t xml:space="preserve">Đồ họa 3D</t>
  </si>
  <si>
    <t xml:space="preserve">Animation</t>
  </si>
  <si>
    <t xml:space="preserve">TỔNG</t>
  </si>
  <si>
    <t xml:space="preserve">Thứ tự đề xuất cho Antigravity</t>
  </si>
  <si>
    <t xml:space="preserve">Sprint 1 (P0): BUG-01 → BUG-05 – sửa logic mua ô, thẻ di chuyển, thưởng đổ đôi, đồng hồ lượt. Viết unit test cho từng luật.</t>
  </si>
  <si>
    <t xml:space="preserve">Sprint 2 (khả năng nhìn thấy): VIS-01, VIS-02, VIS-03, UI-01, UI-02, UI-03 – người chơi phải thấy toàn bộ bàn, quân và ai sở hữu ô nào.</t>
  </si>
  <si>
    <t xml:space="preserve">Sprint 3 (cảm giác chơi): ANI-01, ANI-02, ANI-04, GP-03, GP-04, UI-04 + cân bằng kinh tế GP-01, GP-02.</t>
  </si>
  <si>
    <t xml:space="preserve">Sprint 4 (hoàn thiện): các hạng mục P2/P3 còn lại, art direction VIS-08, cài đặt ván GP-05.</t>
  </si>
  <si>
    <t xml:space="preserve">Sau mỗi sprint: test lại các mục ở sheet 'Chưa kiểm tra'.</t>
  </si>
  <si>
    <t xml:space="preserve">Mã</t>
  </si>
  <si>
    <t xml:space="preserve">Hạng mục</t>
  </si>
  <si>
    <t xml:space="preserve">Mức độ</t>
  </si>
  <si>
    <t xml:space="preserve">Hiện trạng / cách tái hiện</t>
  </si>
  <si>
    <t xml:space="preserve">Yêu cầu sửa / tiêu chí nghiệm thu</t>
  </si>
  <si>
    <t xml:space="preserve">Gợi ý kỹ thuật</t>
  </si>
  <si>
    <t xml:space="preserve">Kiểm chứng</t>
  </si>
  <si>
    <t xml:space="preserve">Trạng thái</t>
  </si>
  <si>
    <t xml:space="preserve">Ghi chú của Long</t>
  </si>
  <si>
    <t xml:space="preserve">BUG-01</t>
  </si>
  <si>
    <t xml:space="preserve">Không mua được ô Giao thông &amp; Tiện ích (người chơi)</t>
  </si>
  <si>
    <t xml:space="preserve">Dừng tại Sân Bay Nội Bài [27] và Trạm Cấp Nước Sạch [20] → bấm 'MUA ĐẤT &amp; XÂY DỰNG' không có phản hồi: tiền không trừ, modal không đóng, nhật ký không ghi. Chỉ thoát được bằng 'Bỏ Qua'. Bot vẫn mua được chính các ô này (Bot mua Nội Bài, Tân Sơn Nhất, Bến Xe Miền Đông).</t>
  </si>
  <si>
    <t xml:space="preserve">Người chơi mua được mọi ô có giá (bất động sản, sân bay, bến xe, cảng, nhà máy điện, trạm nước). Sau khi mua: trừ tiền, ghi nhật ký, đánh dấu chủ sở hữu trên bàn, đóng modal.</t>
  </si>
  <si>
    <t xml:space="preserve">Kiểm tra handler nút mua trong modal: nhiều khả năng điều kiện chỉ xử lý type 'property' hoặc phụ thuộc cấp nâng cấp đang chọn (các cấp khác 'Không áp dụng'). Dùng chung hàm buyTile() mà Bot đang gọi.</t>
  </si>
  <si>
    <t xml:space="preserve">Đã tái hiện 2/2 lần</t>
  </si>
  <si>
    <t xml:space="preserve">Chưa làm</t>
  </si>
  <si>
    <t xml:space="preserve">BUG-02</t>
  </si>
  <si>
    <t xml:space="preserve">Không hiện modal mua khi dừng ở một số ô Giao thông/Tiện ích</t>
  </si>
  <si>
    <t xml:space="preserve">Dừng tại Bến Xe Mỹ Đình [21] (sau khi đổ đôi 6-6) và Nhà Máy Điện [4]: nhật ký ghi 'chưa có chủ sở hữu. Giá bán…' nhưng không có modal mua, chỉ có nút 'Kết thúc lượt' → mất quyền mua.</t>
  </si>
  <si>
    <t xml:space="preserve">Mọi ô chưa có chủ đều bật modal Mua / Bỏ qua cho người chơi, kể cả trong lượt đổ đôi.</t>
  </si>
  <si>
    <t xml:space="preserve">Rà luồng state machine sau khi di chuyển: LANDED → PROMPT_BUY. Kiểm tra nhánh doubles và nhánh tile.type ≠ property.</t>
  </si>
  <si>
    <t xml:space="preserve">Đã tái hiện 2 lần, cần dev xác minh nguyên nhân chung với BUG-01</t>
  </si>
  <si>
    <t xml:space="preserve">BUG-03</t>
  </si>
  <si>
    <t xml:space="preserve">Thẻ di chuyển không kích hoạt hiệu ứng ô đến</t>
  </si>
  <si>
    <t xml:space="preserve">Bot rút thẻ 'Về thăm Cố Đô Huế' (bay tới ô #15) → quân được dời tới Huế (ô người chơi đang sở hữu) nhưng KHÔNG trả tiền thuê, nhật ký không ghi gì. Tương tự thẻ 'Tiến về Sài Gòn lập nghiệp' (#31): không có đề nghị mua TP.HCM.</t>
  </si>
  <si>
    <t xml:space="preserve">Sau khi thẻ di chuyển quân: chạy đầy đủ xử lý ô đến (thu thuê / mua / rút thẻ…), cộng 200.000đ nếu đi qua Cổng Làng, ghi nhật ký 'X bay tới …'.</t>
  </si>
  <si>
    <t xml:space="preserve">Sau moveTo(cardTarget) gọi lại resolveLanding(tile). Tính passGo khi targetIndex &lt; currentIndex.</t>
  </si>
  <si>
    <t xml:space="preserve">Đã kiểm chứng qua nhật ký (vị trí lượt sau khớp ô 15 và 31)</t>
  </si>
  <si>
    <t xml:space="preserve">BUG-04</t>
  </si>
  <si>
    <t xml:space="preserve">Thưởng đổ đôi +50.000đ không được cộng</t>
  </si>
  <si>
    <t xml:space="preserve">Luật chơi ghi: đổ đôi nhận ngay +50.000đ. Thực tế: người chơi đổ [6,6] nhưng tiền = 2.000k − 120k = 1.880k (không có +50k). Bot đổ [5,5]: 1.900k + 50k (Quỹ Heo) − 200k = 1.750k (không có +50k).</t>
  </si>
  <si>
    <t xml:space="preserve">Hoặc cộng +50.000đ mỗi lần đổ đôi và ghi nhật ký, hoặc bỏ dòng này khỏi Luật chơi. Luật và code phải khớp nhau.</t>
  </si>
  <si>
    <t xml:space="preserve">Thêm bonus trong onDiceRolled khi d1===d2.</t>
  </si>
  <si>
    <t xml:space="preserve">Đã kiểm chứng bằng phép tính số dư</t>
  </si>
  <si>
    <t xml:space="preserve">BUG-05</t>
  </si>
  <si>
    <t xml:space="preserve">Đồng hồ lượt hết giờ nhưng không có tác dụng</t>
  </si>
  <si>
    <t xml:space="preserve">Modal mua Sân Bay Nội Bài bị kẹt hơn 60 giây, đồng hồ lượt (60s) hết nhưng game đứng yên.</t>
  </si>
  <si>
    <t xml:space="preserve">Hết giờ → tự động 'Bỏ qua' modal và kết thúc lượt. Ở chế độ chơi với Bot cho phép tắt đồng hồ trong cài đặt.</t>
  </si>
  <si>
    <t xml:space="preserve">Timer onExpire → dispatch(SKIP_ACTION) + END_TURN.</t>
  </si>
  <si>
    <t xml:space="preserve">Đã tái hiện 1 lần</t>
  </si>
  <si>
    <t xml:space="preserve">GP-01</t>
  </si>
  <si>
    <t xml:space="preserve">Nâng cấp quá dễ, tiền thuê tăng đột biến</t>
  </si>
  <si>
    <t xml:space="preserve">Quay lại Cảng Hải Phòng (giá đất 320k) là được nâng ngay lên Nhà phố, không cần sở hữu trọn bộ màu. Tiền thuê nhảy 32.000đ → 160.000đ (x5) với chi phí 240.000đ — hoàn vốn sau ~1,5 lần đối thủ ghé.</t>
  </si>
  <si>
    <t xml:space="preserve">Chỉ cho xây nhà khi sở hữu trọn bộ màu (như Monopoly gốc) HOẶC giữ luật hiện tại nhưng giảm hệ số: Đất 10% → Nhà phố ~25% → Chung cư ~60% → Khách sạn ~120% giá đất. Đưa bảng giá thuê vào file config để dễ chỉnh.</t>
  </si>
  <si>
    <t xml:space="preserve">Tách bảng giá thuê ra constants/economy.ts; thêm canBuild(tile, player) kiểm tra color set.</t>
  </si>
  <si>
    <t xml:space="preserve">Đã kiểm chứng</t>
  </si>
  <si>
    <t xml:space="preserve">GP-02</t>
  </si>
  <si>
    <t xml:space="preserve">Tiền thuê Giao thông không tăng theo số ô sở hữu</t>
  </si>
  <si>
    <t xml:space="preserve">Bot sở hữu 3 ô giao thông (Nội Bài, Tân Sơn Nhất, Miền Đông) nhưng người chơi dừng ở Tân Sơn Nhất chỉ trả 25.000đ (giá cơ bản).</t>
  </si>
  <si>
    <t xml:space="preserve">Thuê giao thông theo số ô sở hữu: 1 ô 25k – 2 ô 50k – 3 ô 100k – 4 ô 200k. Tiện ích (Điện/Nước): thuê = tổng xúc xắc × 4 (1 ô) hoặc × 10 (2 ô).</t>
  </si>
  <si>
    <t xml:space="preserve">GP-03</t>
  </si>
  <si>
    <t xml:space="preserve">Nút 'KẾT THÚC LƯỢT' sai nghĩa khi đổ đôi</t>
  </si>
  <si>
    <t xml:space="preserve">Sau khi đổ đôi, panel hiện 'SỐ ĐÔI! ĐƯỢC ĐỔ THÊM LƯỢT' nhưng nút lại ghi 'KẾT THÚC LƯỢT' (thực tế bấm vào là được đổ tiếp). Gây hiểu nhầm, người chơi sợ mất lượt.</t>
  </si>
  <si>
    <t xml:space="preserve">Khi đang trong chuỗi đổ đôi: nút ghi 'ĐỔ TIẾP 🎲'. Chỉ hiện 'Kết thúc lượt' khi thật sự hết lượt.</t>
  </si>
  <si>
    <t xml:space="preserve">GP-04</t>
  </si>
  <si>
    <t xml:space="preserve">Bot đánh quá nhanh, người chơi không theo dõi được</t>
  </si>
  <si>
    <t xml:space="preserve">Toàn bộ lượt Bot (2 lần đổ do đổ đôi + ăn Quỹ Heo + mua đất) diễn ra trong ~4 giây, camera không bám theo, quân Bot thường bị khuất sau núi/HUD.</t>
  </si>
  <si>
    <t xml:space="preserve">Mỗi hành động của Bot có nhịp tối thiểu 0,8–1,2s, camera bám quân đang đi, hiển thị bong bóng 'Bot đã mua Sân Bay Nội Bài -200k'. Thêm tùy chọn tốc độ Bot (Chậm/Vừa/Nhanh).</t>
  </si>
  <si>
    <t xml:space="preserve">Hàng đợi action có await delay; camera lerp tới token đang active.</t>
  </si>
  <si>
    <t xml:space="preserve">Đã quan sát</t>
  </si>
  <si>
    <t xml:space="preserve">GP-05</t>
  </si>
  <si>
    <t xml:space="preserve">Thiếu cài đặt ván chơi</t>
  </si>
  <si>
    <t xml:space="preserve">Màn 'Chọn chế độ chơi' chỉ có số người/số Bot và linh vật. Luật nhắc 'nếu ván chơi giới hạn số vòng' nhưng không có chỗ cài. Không có độ khó Bot.</t>
  </si>
  <si>
    <t xml:space="preserve">Thêm: Tiền khởi điểm (1.000k/2.000k/3.000k), Giới hạn vòng (Không giới hạn/15/25/40), Độ khó Bot (Dễ/Thường/Khó), Tốc độ animation, Bật/tắt đồng hồ lượt.</t>
  </si>
  <si>
    <t xml:space="preserve">Đã kiểm tra màn hình setup</t>
  </si>
  <si>
    <t xml:space="preserve">GP-06</t>
  </si>
  <si>
    <t xml:space="preserve">Không có đấu giá khi bỏ qua mua; thao tác 'Bỏ qua' không ghi nhật ký</t>
  </si>
  <si>
    <t xml:space="preserve">Bấm 'Bỏ Qua' ô Sân Bay Nội Bài: không có dòng nhật ký nào, không có đấu giá.</t>
  </si>
  <si>
    <t xml:space="preserve">Ghi nhật ký 'X bỏ qua …'. (Tùy chọn) mở đấu giá nhanh cho các người chơi còn lại.</t>
  </si>
  <si>
    <t xml:space="preserve">GP-07</t>
  </si>
  <si>
    <t xml:space="preserve">Quản lý tài sản chỉ truy cập được khi đứng trên ô của mình</t>
  </si>
  <si>
    <t xml:space="preserve">Tab 'Thế chấp / Bán nhà' chỉ xuất hiện trong modal khi dừng lại đúng ô mình sở hữu. Không có màn xem danh sách tài sản, không giao dịch giữa người chơi.</t>
  </si>
  <si>
    <t xml:space="preserve">Bấm vào thẻ người chơi → mở panel tài sản: danh sách ô, cấp nhà, tiền thuê hiện tại, nút Thế chấp/Bán/Giao dịch, dùng được bất kỳ lúc nào trong lượt của mình.</t>
  </si>
  <si>
    <t xml:space="preserve">GP-08</t>
  </si>
  <si>
    <t xml:space="preserve">Bộ đếm 'Vòng' thực chất đếm lượt</t>
  </si>
  <si>
    <t xml:space="preserve">Sau ~13 lượt (mỗi người chưa đi hết 2 vòng bàn cờ) header hiện 'Vòng 13'. Dễ hiểu nhầm với 'vòng bàn cờ' (đi qua Cổng Làng).</t>
  </si>
  <si>
    <t xml:space="preserve">Đổi nhãn thành 'Lượt 13' hoặc đếm đúng số vòng bàn cờ. Nếu có giới hạn vòng (GP-05) phải dùng đúng định nghĩa này.</t>
  </si>
  <si>
    <t xml:space="preserve">GP-09</t>
  </si>
  <si>
    <t xml:space="preserve">Quỹ Heo Đất tự hồi về 20.000đ sau khi bị ăn</t>
  </si>
  <si>
    <t xml:space="preserve">Bot ăn trọn Quỹ 50.000đ, ngay sau đó Quỹ hiển thị 20.000đ dù chưa ai nộp phạt.</t>
  </si>
  <si>
    <t xml:space="preserve">Nếu có cơ chế 'mồi quỹ' thì ghi rõ trong Luật + nhật ký; nếu không thì quỹ về 0.</t>
  </si>
  <si>
    <t xml:space="preserve">Cần dev xác minh có chủ đích hay không</t>
  </si>
  <si>
    <t xml:space="preserve">UI-01</t>
  </si>
  <si>
    <t xml:space="preserve">HUD che mất bàn cờ</t>
  </si>
  <si>
    <t xml:space="preserve">Thẻ người chơi che hàng ô phía trên; Nhật ký che cột trái (Bãi Sau Vũng Tàu, Bến Xe Miền Đông và quân đứng ở đó); panel xúc xắc che cột phải; mở Chat thì chồng lên Nhật ký → gần như cả cạnh trái bị che.</t>
  </si>
  <si>
    <t xml:space="preserve">Bố cục 'safe area': HUD nằm ngoài vùng chiếu của bàn cờ hoặc thu gọn được thành icon; camera fit bàn cờ với padding tính theo kích thước HUD. Không ô nào và không quân nào bị che ở góc nhìn mặc định (1366×768 và 1920×1080).</t>
  </si>
  <si>
    <t xml:space="preserve">Tính camera zoom dựa trên bounding box bàn cờ + viewport trừ HUD; Nhật ký/Chat dạng drawer.</t>
  </si>
  <si>
    <t xml:space="preserve">Đã quan sát nhiều lần</t>
  </si>
  <si>
    <t xml:space="preserve">UI-02</t>
  </si>
  <si>
    <t xml:space="preserve">Không thấy ai sở hữu ô nào trên bàn cờ</t>
  </si>
  <si>
    <t xml:space="preserve">Đã mua Nha Trang, Phú Quốc, Huế, Hạ Long, Hải Phòng; Bot mua Vũng Tàu, Nội Bài, Tràng An… nhưng trên bàn cờ không có cờ, viền màu hay nhà nào. Chỉ có các chấm màu nhỏ dưới thẻ người chơi.</t>
  </si>
  <si>
    <t xml:space="preserve">Ô đã mua: cắm cờ/viền màu theo màu người chơi + hiện tiền thuê hiện tại. Nâng cấp: hiện mô hình 3D tương ứng (nhà phố → chung cư → khách sạn). Hover/chạm ô → tooltip chủ sở hữu, cấp, tiền thuê.</t>
  </si>
  <si>
    <t xml:space="preserve">Đã kiểm chứng (zoom ảnh)</t>
  </si>
  <si>
    <t xml:space="preserve">UI-03</t>
  </si>
  <si>
    <t xml:space="preserve">Modal mua đất/nâng cấp mở ngay khi bấm Đổ xúc xắc</t>
  </si>
  <si>
    <t xml:space="preserve">Modal hiện ra trong khung hình đầu tiên sau khi bấm Đổ, trước khi xúc xắc và quân di chuyển xong; nền bị làm mờ nên người chơi không thấy mình đi tới đâu.</t>
  </si>
  <si>
    <t xml:space="preserve">Trình tự: xúc xắc lăn → dừng → quân nhảy từng ô → camera dừng ở ô đến (0,5s) → mới mở modal.</t>
  </si>
  <si>
    <t xml:space="preserve">await animationDone trước khi set modal state.</t>
  </si>
  <si>
    <t xml:space="preserve">Đã kiểm chứng bằng chụp màn hình liên tiếp</t>
  </si>
  <si>
    <t xml:space="preserve">UI-04</t>
  </si>
  <si>
    <t xml:space="preserve">Popup kết quả xúc xắc ghi sai tên khi Bot đổ</t>
  </si>
  <si>
    <t xml:space="preserve">Lượt Bot đổ 6+5 nhưng banner ghi 'KỲ THỦ NHÍ ĐÃ ĐỔ'. Banner còn che thẻ người chơi và trùng thông tin với panel xúc xắc góc phải.</t>
  </si>
  <si>
    <t xml:space="preserve">Banner dùng tên người đang đổ. Chỉ giữ 1 nơi hiển thị kết quả (đề xuất: xúc xắc 3D + số nổi trên bàn), bỏ banner trùng lặp.</t>
  </si>
  <si>
    <t xml:space="preserve">UI-05</t>
  </si>
  <si>
    <t xml:space="preserve">Nội dung modal mua đất khó hiểu</t>
  </si>
  <si>
    <t xml:space="preserve">'Phí Xây Dựng' dùng cho giá mua đất; 'Giảm Phí 0đ' vô nghĩa; 'Phí Du Lịch Thu Về' = tiền thuê; icon ➡️ cạnh nhãn trông như lỗi; nút 'MUA ĐẤT &amp; XÂY DỰNG' nhưng chỉ mua đất; có cả 'Bỏ Qua' và nút X làm cùng việc. Ô sân bay có phụ đề 'Bến Tàu Xe' và vẫn hiện 3 thẻ khóa 'Không áp dụng'.</t>
  </si>
  <si>
    <t xml:space="preserve">Đổi nhãn: 'Giá mua', 'Tiền thuê khi đối thủ ghé', 'Số dư sau khi mua'. Bỏ dòng Giảm phí nếu = 0. Ô giao thông/tiện ích dùng layout riêng (hiện bảng thuê theo số ô sở hữu). Nút chính: 'MUA – 200.000đ', nút phụ: 'Bỏ qua'. Bỏ nút X.</t>
  </si>
  <si>
    <t xml:space="preserve">UI-06</t>
  </si>
  <si>
    <t xml:space="preserve">Modal nâng cấp: nút bị xám không giải thích</t>
  </si>
  <si>
    <t xml:space="preserve">Khi mở, thẻ được chọn sẵn là cấp hiện tại (Đất nền – Sở hữu) nên nút 'NÂNG CẤP CÔNG TRÌNH' xám, không có hướng dẫn. Icon Khách sạn là khối vàng placeholder; badge 'ĐÃ XÂY' đè lên icon cờ.</t>
  </si>
  <si>
    <t xml:space="preserve">Mặc định chọn cấp kế tiếp; hiển thị 'Tiền thuê: 32k → 160k'. Thay icon khách sạn; badge đặt góc thẻ.</t>
  </si>
  <si>
    <t xml:space="preserve">UI-07</t>
  </si>
  <si>
    <t xml:space="preserve">Luật chơi và UI không khớp</t>
  </si>
  <si>
    <t xml:space="preserve">Luật: Đất trống → Nhà cấp 1 → Nhà cấp 2 → Biệt thự → Siêu Resort 5 sao (5 cấp). UI: Đất nền → Nhà phố → Chung cư → Khách sạn/Landmark (4 cấp). Trang giới thiệu ghi '28 danh lam thắng cảnh' nhưng chỉ có 16 ô địa danh. Linh vật ở sảnh 'Heo Phượt/Cáo Tí' nhưng trong game là 'Kỳ Thủ Nhí/Bot Tí Nị'.</t>
  </si>
  <si>
    <t xml:space="preserve">Thống nhất 1 bộ tên cấp nhà, số địa danh, tên linh vật trên toàn bộ: Luật, modal, nhật ký, trang giới thiệu.</t>
  </si>
  <si>
    <t xml:space="preserve">UI-08</t>
  </si>
  <si>
    <t xml:space="preserve">Thông báo thẻ &amp; nhật ký chưa thân thiện</t>
  </si>
  <si>
    <t xml:space="preserve">Thẻ di chuyển ghi 'Bay thẳng tới ô #31' (lộ số index). Nhật ký thuê 'trả tiền thuê 25.000đ cho chủ nhà' không nêu tên chủ. Lỗi chính tả 'ĐỔI ĐÔI!' (đúng: 'ĐỔ ĐÔI!'). Văn phong lẫn lộn 'đầu tư thành công … lên [Đất nền]' và 'mua thành công bất động sản'.</t>
  </si>
  <si>
    <t xml:space="preserve">Hiện tên ô thay số; ghi rõ 'trả 25.000đ cho Bot Tí Nị'; sửa chính tả; thống nhất văn phong nhật ký.</t>
  </si>
  <si>
    <t xml:space="preserve">UI-09</t>
  </si>
  <si>
    <t xml:space="preserve">Nội dung thẻ không hợp thương hiệu 'Tuổi Thơ'</t>
  </si>
  <si>
    <t xml:space="preserve">Luật mô tả thẻ 'bị CSGT phạt vi phạm nồng độ cồn' — không phù hợp game hướng tới trẻ em/gia đình.</t>
  </si>
  <si>
    <t xml:space="preserve">Rà soát toàn bộ bộ thẻ Cơ Hội/Khí Vận, thay bằng tình huống lành mạnh (quên đội mũ bảo hiểm, đi học muộn, trúng giải vẽ tranh…).</t>
  </si>
  <si>
    <t xml:space="preserve">Đã đọc trong Luật chơi</t>
  </si>
  <si>
    <t xml:space="preserve">UI-10</t>
  </si>
  <si>
    <t xml:space="preserve">Bố cục nhảy khi mở/đóng panel</t>
  </si>
  <si>
    <t xml:space="preserve">Mở rộng Nhật ký → panel xúc xắc nhảy xuống; mở Chat → nút cảm xúc đổi vị trí (bấm trượt).</t>
  </si>
  <si>
    <t xml:space="preserve">Các panel có vị trí neo cố định, không đẩy nhau.</t>
  </si>
  <si>
    <t xml:space="preserve">UI-11</t>
  </si>
  <si>
    <t xml:space="preserve">Lỗi nhỏ: icon &amp; accessibility</t>
  </si>
  <si>
    <t xml:space="preserve">Nút 'Luật Chơi' hiển thị cả icon sách và emoji 📖 bị vỡ thành ô vuông trắng. 1 nút icon không có aria-label. Chat trong chế độ đấu Bot gần như không có tác dụng.</t>
  </si>
  <si>
    <t xml:space="preserve">Bỏ emoji trong nút, dùng 1 icon SVG. Thêm aria-label cho mọi nút icon. Ẩn Chat khi chơi với Bot hoặc cho Bot phản hồi câu nói nhanh.</t>
  </si>
  <si>
    <t xml:space="preserve">VIS-01</t>
  </si>
  <si>
    <t xml:space="preserve">Đường kẻ trắng lạ cắt ngang bàn cờ</t>
  </si>
  <si>
    <t xml:space="preserve">Một khung vuông viền trắng rất lớn, nghiêng, nổi trên bàn cờ, cắt qua các ô và cả HUD; xoay camera vẫn thấy.</t>
  </si>
  <si>
    <t xml:space="preserve">Xóa hoàn toàn. Nhiều khả năng là helper (LineLoop/BoxHelper/camera helper) hoặc đường path debug còn sót lại.</t>
  </si>
  <si>
    <t xml:space="preserve">Tìm LineSegments/LineLoop/*Helper trong scene; tắt mọi debug helper ở build production.</t>
  </si>
  <si>
    <t xml:space="preserve">Đã quan sát ở mọi góc nhìn</t>
  </si>
  <si>
    <t xml:space="preserve">VIS-02</t>
  </si>
  <si>
    <t xml:space="preserve">Cảnh trang trí trung tâm che bàn cờ và quân</t>
  </si>
  <si>
    <t xml:space="preserve">Cụm núi đá cao ở giữa che hàng ô phía trên (các ô tím, Thành Phố Hoa Đà Lạt, Cầu Rồng…); quân Bot đứng ở Cầu Rồng không nhìn thấy. Vật thể nâu hình bán trụ ở giữa nhìn như mesh lỗi.</t>
  </si>
  <si>
    <t xml:space="preserve">Hạ thấp/thu nhỏ núi, đặt lệch về tâm, không được cao quá mặt phẳng nhìn tới hàng ô xa. Thay vật thể nâu bằng mô hình có nghĩa (thuyền, mái đình…). Tiêu chí: ở góc nhìn mặc định 100% ô và quân đều thấy.</t>
  </si>
  <si>
    <t xml:space="preserve">VIS-03</t>
  </si>
  <si>
    <t xml:space="preserve">Góc camera mặc định cắt mất góc Cổng Làng</t>
  </si>
  <si>
    <t xml:space="preserve">Góc dưới (ô Xuất Phát/Cổng Làng, giá Đất Mũi Cà Mau) bị cắt khỏi khung hình.</t>
  </si>
  <si>
    <t xml:space="preserve">Camera mặc định thấy trọn 4 góc bàn cờ; thêm nút 'Đặt lại góc nhìn' và 2–3 preset (Toàn cảnh / Theo quân / Từ trên xuống).</t>
  </si>
  <si>
    <t xml:space="preserve">VIS-04</t>
  </si>
  <si>
    <t xml:space="preserve">Quân cờ không ra hình linh vật, khó nhìn</t>
  </si>
  <si>
    <t xml:space="preserve">Quân là khối tròn hồng-xanh và khối cam, không giống heo/cáo như avatar; tên trên đầu chữ cam rất nhỏ; 2 quân cùng ô thì chồng lên nhau và che tên ô.</t>
  </si>
  <si>
    <t xml:space="preserve">Mô hình chibi low-poly đúng 4 linh vật (Heo, Cáo, Mèo, Trâu), có viền/vòng sáng màu người chơi dưới chân, tên dạng badge dễ đọc. Nhiều quân cùng ô thì xếp lệch vị trí.</t>
  </si>
  <si>
    <t xml:space="preserve">Có thể dùng model GLB miễn phí (Kenney, Quaternius) hoặc dựng từ primitive nhưng có tai/mõm đặc trưng.</t>
  </si>
  <si>
    <t xml:space="preserve">VIS-05</t>
  </si>
  <si>
    <t xml:space="preserve">Vật thể 3D đè lên chữ ở ô góc và ô thẻ</t>
  </si>
  <si>
    <t xml:space="preserve">'TRẠI G…' bị mô hình xe cảnh sát đè; 'LỄ H…' bị hộp quà đè; 'Khí Vậ…' bị khối tím đè; chữ 'Vịnh Biển Nha Trang' xuống dòng lỗi 'Tran/g'.</t>
  </si>
  <si>
    <t xml:space="preserve">Đặt vật thể sang một bên hoặc đặt chữ lên trên; dùng text có wrap đúng theo từ.</t>
  </si>
  <si>
    <t xml:space="preserve">VIS-06</t>
  </si>
  <si>
    <t xml:space="preserve">Đạo cụ placeholder &amp; xúc xắc thừa</t>
  </si>
  <si>
    <t xml:space="preserve">Chồng thẻ Cơ Hội/Khí Vận là khối lập phương màu cam/tím lơ lửng với bóng xám vuông; trên bàn có thêm 2–3 viên xúc xắc trắng nằm rải rác ngoài 2 viên đang dùng.</t>
  </si>
  <si>
    <t xml:space="preserve">Thay bằng chồng lá bài có in biểu tượng; xóa xúc xắc thừa (hoặc giải thích là trang trí).</t>
  </si>
  <si>
    <t xml:space="preserve">VIS-07</t>
  </si>
  <si>
    <t xml:space="preserve">Giá và màu nhóm ô khó đọc</t>
  </si>
  <si>
    <t xml:space="preserve">Giá in chữ cam nhỏ, tương phản thấp, vị trí không đều (có giá nằm ra mép giữa 2 ô). Dải màu nhóm khó phân biệt (nhiều sắc xanh dương gần giống nhau), không có chú thích miền.</t>
  </si>
  <si>
    <t xml:space="preserve">Giá in đậm trong khung cố định ở cạnh ngoài ô; 8 nhóm màu tách bạch (tham chiếu bảng màu Monopoly); thêm chú thích miền Bắc/Trung/Nam/Biển đảo.</t>
  </si>
  <si>
    <t xml:space="preserve">Đã quan sát – nhóm màu cần dev đối chiếu config</t>
  </si>
  <si>
    <t xml:space="preserve">VIS-08</t>
  </si>
  <si>
    <t xml:space="preserve">Phong cách tổng thể chưa đồng bộ, thiếu 'chất Đảo Ngọc'</t>
  </si>
  <si>
    <t xml:space="preserve">Cảnh low-poly 3D + HUD tối kiểu dashboard + modal kem sáng → 3 phong cách khác nhau. Nền là khoảng xám trống, khung bàn nâu trơn, ánh sáng phẳng. Không có tài sản 3D (không tải file .glb nào) – toàn bộ dựng từ khối cơ bản.</t>
  </si>
  <si>
    <t xml:space="preserve">Chọn 1 art direction: đảo nhiệt đới nổi trên biển (nước có shader sóng nhẹ, mây, bầu trời gradient), khung bàn gỗ có hoa văn, ánh sáng chiều ấm + bóng mềm. HUD và modal dùng chung 1 bảng màu/bo góc/font.</t>
  </si>
  <si>
    <t xml:space="preserve">VIS-09</t>
  </si>
  <si>
    <t xml:space="preserve">Điều khiển camera chưa tốt</t>
  </si>
  <si>
    <t xml:space="preserve">Kéo chuột ~200px đã xoay gần 90° (quá nhạy); cuộn chuột không zoom; không có nút đặt lại góc nhìn.</t>
  </si>
  <si>
    <t xml:space="preserve">Giảm rotateSpeed, giới hạn góc polar/azimuth, bật zoom có min/max, thêm nút reset; trên mobile hỗ trợ pinch.</t>
  </si>
  <si>
    <t xml:space="preserve">OrbitControls: rotateSpeed≈0.4, enableZoom=true, minDistance/maxDistance, damping.</t>
  </si>
  <si>
    <t xml:space="preserve">ANI-01</t>
  </si>
  <si>
    <t xml:space="preserve">Đổ xúc xắc chưa có cảm giác</t>
  </si>
  <si>
    <t xml:space="preserve">Xúc xắc 3D nhỏ, nằm xa giữa bàn, gần như không thấy lăn; kết quả hiện ở 2 nơi (banner + panel).</t>
  </si>
  <si>
    <t xml:space="preserve">Xúc xắc lăn to ở gần camera (vật lý hoặc tween xoay 0,8–1,2s), nảy nhẹ, dừng → số nổi lên → âm thanh 'cạch'. Đổ đôi có hiệu ứng riêng.</t>
  </si>
  <si>
    <t xml:space="preserve">cannon-es/rapier hoặc tween quaternion tới mặt kết quả định trước.</t>
  </si>
  <si>
    <t xml:space="preserve">ANI-02</t>
  </si>
  <si>
    <t xml:space="preserve">Di chuyển quân &amp; camera</t>
  </si>
  <si>
    <t xml:space="preserve">Không quan sát rõ quân nhảy từng ô; camera không bám theo; quân bị khuất sau núi/HUD. Thẻ di chuyển (bay tới ô) không có hiệu ứng bay.</t>
  </si>
  <si>
    <t xml:space="preserve">Quân nhảy từng ô (0,15–0,25s/ô, có squash &amp; stretch), camera bám theo mượt rồi trả về toàn cảnh. Thẻ 'bay' có quỹ đạo vòng cung + máy bay/đám mây.</t>
  </si>
  <si>
    <t xml:space="preserve">Cần dev kiểm tra thêm</t>
  </si>
  <si>
    <t xml:space="preserve">ANI-03</t>
  </si>
  <si>
    <t xml:space="preserve">Không có phản hồi khi tiền thay đổi</t>
  </si>
  <si>
    <t xml:space="preserve">Mua đất, trả thuê, qua Cổng Làng, ăn Quỹ Heo: số dư chỉ đổi số im lặng.</t>
  </si>
  <si>
    <t xml:space="preserve">Số nổi +200k/−25k cạnh thẻ người chơi, đồng xu bay từ người trả sang người nhận, số dư đếm lên/xuống. Ăn Quỹ Heo: heo đất vỡ + xu tung.</t>
  </si>
  <si>
    <t xml:space="preserve">ANI-04</t>
  </si>
  <si>
    <t xml:space="preserve">Mua/nâng cấp không có hiệu ứng trên bàn</t>
  </si>
  <si>
    <t xml:space="preserve">Sau khi mua/nâng cấp không có gì xuất hiện trên ô (liên quan UI-02).</t>
  </si>
  <si>
    <t xml:space="preserve">Mua: cắm cờ rơi xuống ô. Nâng cấp: nhà mọc lên (scale 0→1, bụi/sparkle). Lên Khách sạn/Landmark: pháo hoa nhỏ.</t>
  </si>
  <si>
    <t xml:space="preserve">ANI-05</t>
  </si>
  <si>
    <t xml:space="preserve">Rút thẻ Cơ Hội/Khí Vận</t>
  </si>
  <si>
    <t xml:space="preserve">Modal thẻ bật thẳng ra, hình minh họa là emoji chung (💰, ✈️, 🗝️).</t>
  </si>
  <si>
    <t xml:space="preserve">Lá bài bay ra từ chồng thẻ trên bàn, lật mặt 3D, mỗi thẻ có minh họa riêng theo chủ đề Việt Nam.</t>
  </si>
  <si>
    <t xml:space="preserve">ANI-06</t>
  </si>
  <si>
    <t xml:space="preserve">Chuyển lượt chưa rõ ràng</t>
  </si>
  <si>
    <t xml:space="preserve">Chỉ có chữ 'Đến lượt: …' nhỏ ở trên; không có cue rõ khi tới lượt người chơi.</t>
  </si>
  <si>
    <t xml:space="preserve">Banner 'LƯỢT CỦA BẠN' trượt vào 1s + âm báo; thẻ người chơi active phát sáng nhịp; nút Đổ xúc xắc nhún nhẹ.</t>
  </si>
  <si>
    <t xml:space="preserve">Cột 'Trạng thái' chọn từ danh sách; cột vàng 'Ghi chú của Long' để anh điền phản hồi. Sheet Tổng quan tự đếm theo 2 cột này.</t>
  </si>
  <si>
    <t xml:space="preserve">Lý do / việc cần test</t>
  </si>
  <si>
    <t xml:space="preserve">Giao diện mobile / tablet</t>
  </si>
  <si>
    <t xml:space="preserve">Không resize được cửa sổ trình duyệt trong phiên review. Cần test 390×844 và 768×1024: HUD, modal, điều khiển chạm.</t>
  </si>
  <si>
    <t xml:space="preserve">Chế độ Online P2P (WebRTC, mã PIN)</t>
  </si>
  <si>
    <t xml:space="preserve">Cần 2 thiết bị. Kiểm tra đồng bộ trạng thái, mất kết nối, người chơi thoát giữa ván.</t>
  </si>
  <si>
    <t xml:space="preserve">Vào tù / ra tù / Kim Bài Thoát Tù</t>
  </si>
  <si>
    <t xml:space="preserve">Trong ~13 lượt chơi chưa ai vào Trại Giam.</t>
  </si>
  <si>
    <t xml:space="preserve">Phá sản &amp; kết thúc ván</t>
  </si>
  <si>
    <t xml:space="preserve">Chưa chạm tới. Cần test: thiếu tiền trả thuê → bắt buộc bán/thế chấp → phá sản → màn hình chiến thắng.</t>
  </si>
  <si>
    <t xml:space="preserve">Âm thanh (nhạc nền, hiệu ứng)</t>
  </si>
  <si>
    <t xml:space="preserve">Game không tải file âm thanh (có thể tạo bằng Web Audio). Không đánh giá được chất lượng âm thanh.</t>
  </si>
  <si>
    <t xml:space="preserve">Hiệu năng</t>
  </si>
  <si>
    <t xml:space="preserve">Máy review: ~59 FPS, tải ~461 KB, RAM JS ~76 MB → tốt. Cần test trên điện thoại tầm trung.</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</si>
</sst>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name val="Arial"/>
      <family val="0"/>
      <charset val="1"/>
    </font>
    <font>
      <sz val="11"/>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name val="Arial"/>
      <family val="0"/>
      <charset val="1"/>
    </font>
  </fonts>
  <fills count="8">
    <fill>
      <patternFill patternType="none"/>
    </fill>
    <fill>
      <patternFill patternType="gray125"/>
    </fill>
    <fill>
      <patternFill patternType="solid">
        <fgColor rgb="FFF8CBAD"/>
        <bgColor rgb="FFFFE699"/>
      </patternFill>
    </fill>
    <fill>
      <patternFill patternType="solid">
        <fgColor rgb="FFFFE699"/>
        <bgColor rgb="FFF8CBAD"/>
      </patternFill>
    </fill>
    <fill>
      <patternFill patternType="solid">
        <fgColor rgb="FFDDEBF7"/>
        <bgColor rgb="FFE2EFDA"/>
      </patternFill>
    </fill>
    <fill>
      <patternFill patternType="solid">
        <fgColor rgb="FFE2EFDA"/>
        <bgColor rgb="FFDDEBF7"/>
      </patternFill>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7" min="3"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c r="C5" s="5"/>
      <c r="D5" s="5"/>
      <c r="E5" s="5"/>
      <c r="F5" s="5"/>
      <c r="G5" s="5"/>
    </row>
    <row r="6" customFormat="false" ht="15" hidden="false" customHeight="false" outlineLevel="0" collapsed="false">
      <c r="A6" s="6" t="s">
        <v>5</v>
      </c>
      <c r="B6" s="5" t="s">
        <v>6</v>
      </c>
      <c r="C6" s="5"/>
      <c r="D6" s="5"/>
      <c r="E6" s="5"/>
      <c r="F6" s="5"/>
      <c r="G6" s="5"/>
    </row>
    <row r="7" customFormat="false" ht="15" hidden="false" customHeight="false" outlineLevel="0" collapsed="false">
      <c r="A7" s="7" t="s">
        <v>7</v>
      </c>
      <c r="B7" s="5" t="s">
        <v>8</v>
      </c>
      <c r="C7" s="5"/>
      <c r="D7" s="5"/>
      <c r="E7" s="5"/>
      <c r="F7" s="5"/>
      <c r="G7" s="5"/>
    </row>
    <row r="8" customFormat="false" ht="15" hidden="false" customHeight="false" outlineLevel="0" collapsed="false">
      <c r="A8" s="8" t="s">
        <v>9</v>
      </c>
      <c r="B8" s="5" t="s">
        <v>10</v>
      </c>
      <c r="C8" s="5"/>
      <c r="D8" s="5"/>
      <c r="E8" s="5"/>
      <c r="F8" s="5"/>
      <c r="G8" s="5"/>
    </row>
    <row r="10" customFormat="false" ht="15" hidden="false" customHeight="false" outlineLevel="0" collapsed="false">
      <c r="A10" s="3" t="s">
        <v>11</v>
      </c>
    </row>
    <row r="11" customFormat="false" ht="15" hidden="false" customHeight="false" outlineLevel="0" collapsed="false">
      <c r="A11" s="9" t="s">
        <v>12</v>
      </c>
      <c r="B11" s="9" t="s">
        <v>3</v>
      </c>
      <c r="C11" s="9" t="s">
        <v>5</v>
      </c>
      <c r="D11" s="9" t="s">
        <v>7</v>
      </c>
      <c r="E11" s="9" t="s">
        <v>9</v>
      </c>
      <c r="F11" s="9" t="s">
        <v>13</v>
      </c>
      <c r="G11" s="9" t="s">
        <v>14</v>
      </c>
    </row>
    <row r="12" customFormat="false" ht="15" hidden="false" customHeight="false" outlineLevel="0" collapsed="false">
      <c r="A12" s="10" t="s">
        <v>15</v>
      </c>
      <c r="B12" s="11" t="n">
        <f aca="false">COUNTIFS('Danh sách hạng mục'!$B$2:$B$41,$A12,'Danh sách hạng mục'!$D$2:$D$41,"P0")</f>
        <v>4</v>
      </c>
      <c r="C12" s="11" t="n">
        <f aca="false">COUNTIFS('Danh sách hạng mục'!$B$2:$B$41,$A12,'Danh sách hạng mục'!$D$2:$D$41,"P1")</f>
        <v>1</v>
      </c>
      <c r="D12" s="11" t="n">
        <f aca="false">COUNTIFS('Danh sách hạng mục'!$B$2:$B$41,$A12,'Danh sách hạng mục'!$D$2:$D$41,"P2")</f>
        <v>0</v>
      </c>
      <c r="E12" s="11" t="n">
        <f aca="false">COUNTIFS('Danh sách hạng mục'!$B$2:$B$41,$A12,'Danh sách hạng mục'!$D$2:$D$41,"P3")</f>
        <v>0</v>
      </c>
      <c r="F12" s="11" t="n">
        <f aca="false">SUM(B12:E12)</f>
        <v>5</v>
      </c>
      <c r="G12" s="11" t="n">
        <f aca="false">COUNTIFS('Danh sách hạng mục'!$B$2:$B$41,$A12,'Danh sách hạng mục'!$I$2:$I$41,"Đã xong")</f>
        <v>0</v>
      </c>
    </row>
    <row r="13" customFormat="false" ht="15" hidden="false" customHeight="false" outlineLevel="0" collapsed="false">
      <c r="A13" s="10" t="s">
        <v>16</v>
      </c>
      <c r="B13" s="11" t="n">
        <f aca="false">COUNTIFS('Danh sách hạng mục'!$B$2:$B$41,$A13,'Danh sách hạng mục'!$D$2:$D$41,"P0")</f>
        <v>0</v>
      </c>
      <c r="C13" s="11" t="n">
        <f aca="false">COUNTIFS('Danh sách hạng mục'!$B$2:$B$41,$A13,'Danh sách hạng mục'!$D$2:$D$41,"P1")</f>
        <v>3</v>
      </c>
      <c r="D13" s="11" t="n">
        <f aca="false">COUNTIFS('Danh sách hạng mục'!$B$2:$B$41,$A13,'Danh sách hạng mục'!$D$2:$D$41,"P2")</f>
        <v>5</v>
      </c>
      <c r="E13" s="11" t="n">
        <f aca="false">COUNTIFS('Danh sách hạng mục'!$B$2:$B$41,$A13,'Danh sách hạng mục'!$D$2:$D$41,"P3")</f>
        <v>1</v>
      </c>
      <c r="F13" s="11" t="n">
        <f aca="false">SUM(B13:E13)</f>
        <v>9</v>
      </c>
      <c r="G13" s="11" t="n">
        <f aca="false">COUNTIFS('Danh sách hạng mục'!$B$2:$B$41,$A13,'Danh sách hạng mục'!$I$2:$I$41,"Đã xong")</f>
        <v>0</v>
      </c>
    </row>
    <row r="14" customFormat="false" ht="15" hidden="false" customHeight="false" outlineLevel="0" collapsed="false">
      <c r="A14" s="10" t="s">
        <v>17</v>
      </c>
      <c r="B14" s="11" t="n">
        <f aca="false">COUNTIFS('Danh sách hạng mục'!$B$2:$B$41,$A14,'Danh sách hạng mục'!$D$2:$D$41,"P0")</f>
        <v>0</v>
      </c>
      <c r="C14" s="11" t="n">
        <f aca="false">COUNTIFS('Danh sách hạng mục'!$B$2:$B$41,$A14,'Danh sách hạng mục'!$D$2:$D$41,"P1")</f>
        <v>4</v>
      </c>
      <c r="D14" s="11" t="n">
        <f aca="false">COUNTIFS('Danh sách hạng mục'!$B$2:$B$41,$A14,'Danh sách hạng mục'!$D$2:$D$41,"P2")</f>
        <v>5</v>
      </c>
      <c r="E14" s="11" t="n">
        <f aca="false">COUNTIFS('Danh sách hạng mục'!$B$2:$B$41,$A14,'Danh sách hạng mục'!$D$2:$D$41,"P3")</f>
        <v>2</v>
      </c>
      <c r="F14" s="11" t="n">
        <f aca="false">SUM(B14:E14)</f>
        <v>11</v>
      </c>
      <c r="G14" s="11" t="n">
        <f aca="false">COUNTIFS('Danh sách hạng mục'!$B$2:$B$41,$A14,'Danh sách hạng mục'!$I$2:$I$41,"Đã xong")</f>
        <v>0</v>
      </c>
    </row>
    <row r="15" customFormat="false" ht="15" hidden="false" customHeight="false" outlineLevel="0" collapsed="false">
      <c r="A15" s="10" t="s">
        <v>18</v>
      </c>
      <c r="B15" s="11" t="n">
        <f aca="false">COUNTIFS('Danh sách hạng mục'!$B$2:$B$41,$A15,'Danh sách hạng mục'!$D$2:$D$41,"P0")</f>
        <v>0</v>
      </c>
      <c r="C15" s="11" t="n">
        <f aca="false">COUNTIFS('Danh sách hạng mục'!$B$2:$B$41,$A15,'Danh sách hạng mục'!$D$2:$D$41,"P1")</f>
        <v>4</v>
      </c>
      <c r="D15" s="11" t="n">
        <f aca="false">COUNTIFS('Danh sách hạng mục'!$B$2:$B$41,$A15,'Danh sách hạng mục'!$D$2:$D$41,"P2")</f>
        <v>5</v>
      </c>
      <c r="E15" s="11" t="n">
        <f aca="false">COUNTIFS('Danh sách hạng mục'!$B$2:$B$41,$A15,'Danh sách hạng mục'!$D$2:$D$41,"P3")</f>
        <v>0</v>
      </c>
      <c r="F15" s="11" t="n">
        <f aca="false">SUM(B15:E15)</f>
        <v>9</v>
      </c>
      <c r="G15" s="11" t="n">
        <f aca="false">COUNTIFS('Danh sách hạng mục'!$B$2:$B$41,$A15,'Danh sách hạng mục'!$I$2:$I$41,"Đã xong")</f>
        <v>0</v>
      </c>
    </row>
    <row r="16" customFormat="false" ht="15" hidden="false" customHeight="false" outlineLevel="0" collapsed="false">
      <c r="A16" s="10" t="s">
        <v>19</v>
      </c>
      <c r="B16" s="11" t="n">
        <f aca="false">COUNTIFS('Danh sách hạng mục'!$B$2:$B$41,$A16,'Danh sách hạng mục'!$D$2:$D$41,"P0")</f>
        <v>0</v>
      </c>
      <c r="C16" s="11" t="n">
        <f aca="false">COUNTIFS('Danh sách hạng mục'!$B$2:$B$41,$A16,'Danh sách hạng mục'!$D$2:$D$41,"P1")</f>
        <v>3</v>
      </c>
      <c r="D16" s="11" t="n">
        <f aca="false">COUNTIFS('Danh sách hạng mục'!$B$2:$B$41,$A16,'Danh sách hạng mục'!$D$2:$D$41,"P2")</f>
        <v>3</v>
      </c>
      <c r="E16" s="11" t="n">
        <f aca="false">COUNTIFS('Danh sách hạng mục'!$B$2:$B$41,$A16,'Danh sách hạng mục'!$D$2:$D$41,"P3")</f>
        <v>0</v>
      </c>
      <c r="F16" s="11" t="n">
        <f aca="false">SUM(B16:E16)</f>
        <v>6</v>
      </c>
      <c r="G16" s="11" t="n">
        <f aca="false">COUNTIFS('Danh sách hạng mục'!$B$2:$B$41,$A16,'Danh sách hạng mục'!$I$2:$I$41,"Đã xong")</f>
        <v>0</v>
      </c>
    </row>
    <row r="17" customFormat="false" ht="15" hidden="false" customHeight="false" outlineLevel="0" collapsed="false">
      <c r="A17" s="12" t="s">
        <v>20</v>
      </c>
      <c r="B17" s="13" t="n">
        <f aca="false">SUM(B12:B16)</f>
        <v>4</v>
      </c>
      <c r="C17" s="13" t="n">
        <f aca="false">SUM(C12:C16)</f>
        <v>15</v>
      </c>
      <c r="D17" s="13" t="n">
        <f aca="false">SUM(D12:D16)</f>
        <v>18</v>
      </c>
      <c r="E17" s="13" t="n">
        <f aca="false">SUM(E12:E16)</f>
        <v>3</v>
      </c>
      <c r="F17" s="13" t="n">
        <f aca="false">SUM(F12:F16)</f>
        <v>40</v>
      </c>
      <c r="G17" s="13" t="n">
        <f aca="false">SUM(G12:G16)</f>
        <v>0</v>
      </c>
    </row>
    <row r="19" customFormat="false" ht="15" hidden="false" customHeight="false" outlineLevel="0" collapsed="false">
      <c r="A19" s="3" t="s">
        <v>21</v>
      </c>
    </row>
    <row r="20" customFormat="false" ht="15" hidden="false" customHeight="false" outlineLevel="0" collapsed="false">
      <c r="A20" s="5" t="s">
        <v>22</v>
      </c>
      <c r="B20" s="5"/>
      <c r="C20" s="5"/>
      <c r="D20" s="5"/>
      <c r="E20" s="5"/>
      <c r="F20" s="5"/>
      <c r="G20" s="5"/>
    </row>
    <row r="21" customFormat="false" ht="15" hidden="false" customHeight="false" outlineLevel="0" collapsed="false">
      <c r="A21" s="5" t="s">
        <v>23</v>
      </c>
      <c r="B21" s="5"/>
      <c r="C21" s="5"/>
      <c r="D21" s="5"/>
      <c r="E21" s="5"/>
      <c r="F21" s="5"/>
      <c r="G21" s="5"/>
    </row>
    <row r="22" customFormat="false" ht="15" hidden="false" customHeight="false" outlineLevel="0" collapsed="false">
      <c r="A22" s="5" t="s">
        <v>24</v>
      </c>
      <c r="B22" s="5"/>
      <c r="C22" s="5"/>
      <c r="D22" s="5"/>
      <c r="E22" s="5"/>
      <c r="F22" s="5"/>
      <c r="G22" s="5"/>
    </row>
    <row r="23" customFormat="false" ht="15" hidden="false" customHeight="false" outlineLevel="0" collapsed="false">
      <c r="A23" s="5" t="s">
        <v>25</v>
      </c>
      <c r="B23" s="5"/>
      <c r="C23" s="5"/>
      <c r="D23" s="5"/>
      <c r="E23" s="5"/>
      <c r="F23" s="5"/>
      <c r="G23" s="5"/>
    </row>
    <row r="24" customFormat="false" ht="15" hidden="false" customHeight="false" outlineLevel="0" collapsed="false">
      <c r="A24" s="5" t="s">
        <v>26</v>
      </c>
      <c r="B24" s="5"/>
      <c r="C24" s="5"/>
      <c r="D24" s="5"/>
      <c r="E24" s="5"/>
      <c r="F24" s="5"/>
      <c r="G24" s="5"/>
    </row>
  </sheetData>
  <mergeCells count="9">
    <mergeCell ref="B5:G5"/>
    <mergeCell ref="B6:G6"/>
    <mergeCell ref="B7:G7"/>
    <mergeCell ref="B8:G8"/>
    <mergeCell ref="A20:G20"/>
    <mergeCell ref="A21:G21"/>
    <mergeCell ref="A22:G22"/>
    <mergeCell ref="A23:G23"/>
    <mergeCell ref="A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32"/>
    <col collapsed="false" customWidth="true" hidden="false" outlineLevel="0" max="4" min="4" style="0" width="8"/>
    <col collapsed="false" customWidth="true" hidden="false" outlineLevel="0" max="6" min="5" style="0" width="60"/>
    <col collapsed="false" customWidth="true" hidden="false" outlineLevel="0" max="7" min="7" style="0" width="40"/>
    <col collapsed="false" customWidth="true" hidden="false" outlineLevel="0" max="8" min="8" style="0" width="22"/>
    <col collapsed="false" customWidth="true" hidden="false" outlineLevel="0" max="9" min="9" style="0" width="12"/>
    <col collapsed="false" customWidth="true" hidden="false" outlineLevel="0" max="10" min="10" style="0" width="25"/>
  </cols>
  <sheetData>
    <row r="1" customFormat="false" ht="26.85" hidden="false" customHeight="false" outlineLevel="0" collapsed="false">
      <c r="A1" s="14" t="s">
        <v>27</v>
      </c>
      <c r="B1" s="14" t="s">
        <v>12</v>
      </c>
      <c r="C1" s="14" t="s">
        <v>28</v>
      </c>
      <c r="D1" s="14" t="s">
        <v>29</v>
      </c>
      <c r="E1" s="14" t="s">
        <v>30</v>
      </c>
      <c r="F1" s="14" t="s">
        <v>31</v>
      </c>
      <c r="G1" s="14" t="s">
        <v>32</v>
      </c>
      <c r="H1" s="14" t="s">
        <v>33</v>
      </c>
      <c r="I1" s="14" t="s">
        <v>34</v>
      </c>
      <c r="J1" s="14" t="s">
        <v>35</v>
      </c>
    </row>
    <row r="2" customFormat="false" ht="57.45" hidden="false" customHeight="false" outlineLevel="0" collapsed="false">
      <c r="A2" s="15" t="s">
        <v>36</v>
      </c>
      <c r="B2" s="16" t="s">
        <v>15</v>
      </c>
      <c r="C2" s="17" t="s">
        <v>37</v>
      </c>
      <c r="D2" s="18" t="s">
        <v>3</v>
      </c>
      <c r="E2" s="16" t="s">
        <v>38</v>
      </c>
      <c r="F2" s="16" t="s">
        <v>39</v>
      </c>
      <c r="G2" s="16" t="s">
        <v>40</v>
      </c>
      <c r="H2" s="16" t="s">
        <v>41</v>
      </c>
      <c r="I2" s="19" t="s">
        <v>42</v>
      </c>
      <c r="J2" s="20"/>
    </row>
    <row r="3" customFormat="false" ht="35.05" hidden="false" customHeight="false" outlineLevel="0" collapsed="false">
      <c r="A3" s="15" t="s">
        <v>43</v>
      </c>
      <c r="B3" s="16" t="s">
        <v>15</v>
      </c>
      <c r="C3" s="17" t="s">
        <v>44</v>
      </c>
      <c r="D3" s="18" t="s">
        <v>3</v>
      </c>
      <c r="E3" s="16" t="s">
        <v>45</v>
      </c>
      <c r="F3" s="16" t="s">
        <v>46</v>
      </c>
      <c r="G3" s="16" t="s">
        <v>47</v>
      </c>
      <c r="H3" s="16" t="s">
        <v>48</v>
      </c>
      <c r="I3" s="19" t="s">
        <v>42</v>
      </c>
      <c r="J3" s="20"/>
    </row>
    <row r="4" customFormat="false" ht="46.25" hidden="false" customHeight="false" outlineLevel="0" collapsed="false">
      <c r="A4" s="15" t="s">
        <v>49</v>
      </c>
      <c r="B4" s="16" t="s">
        <v>15</v>
      </c>
      <c r="C4" s="17" t="s">
        <v>50</v>
      </c>
      <c r="D4" s="18" t="s">
        <v>3</v>
      </c>
      <c r="E4" s="16" t="s">
        <v>51</v>
      </c>
      <c r="F4" s="16" t="s">
        <v>52</v>
      </c>
      <c r="G4" s="16" t="s">
        <v>53</v>
      </c>
      <c r="H4" s="16" t="s">
        <v>54</v>
      </c>
      <c r="I4" s="19" t="s">
        <v>42</v>
      </c>
      <c r="J4" s="20"/>
    </row>
    <row r="5" customFormat="false" ht="35.05" hidden="false" customHeight="false" outlineLevel="0" collapsed="false">
      <c r="A5" s="15" t="s">
        <v>55</v>
      </c>
      <c r="B5" s="16" t="s">
        <v>15</v>
      </c>
      <c r="C5" s="17" t="s">
        <v>56</v>
      </c>
      <c r="D5" s="18" t="s">
        <v>3</v>
      </c>
      <c r="E5" s="16" t="s">
        <v>57</v>
      </c>
      <c r="F5" s="16" t="s">
        <v>58</v>
      </c>
      <c r="G5" s="16" t="s">
        <v>59</v>
      </c>
      <c r="H5" s="16" t="s">
        <v>60</v>
      </c>
      <c r="I5" s="19" t="s">
        <v>42</v>
      </c>
      <c r="J5" s="20"/>
    </row>
    <row r="6" customFormat="false" ht="23.85" hidden="false" customHeight="false" outlineLevel="0" collapsed="false">
      <c r="A6" s="15" t="s">
        <v>61</v>
      </c>
      <c r="B6" s="16" t="s">
        <v>15</v>
      </c>
      <c r="C6" s="17" t="s">
        <v>62</v>
      </c>
      <c r="D6" s="21" t="s">
        <v>5</v>
      </c>
      <c r="E6" s="16" t="s">
        <v>63</v>
      </c>
      <c r="F6" s="16" t="s">
        <v>64</v>
      </c>
      <c r="G6" s="16" t="s">
        <v>65</v>
      </c>
      <c r="H6" s="16" t="s">
        <v>66</v>
      </c>
      <c r="I6" s="19" t="s">
        <v>42</v>
      </c>
      <c r="J6" s="20"/>
    </row>
    <row r="7" customFormat="false" ht="46.25" hidden="false" customHeight="false" outlineLevel="0" collapsed="false">
      <c r="A7" s="15" t="s">
        <v>67</v>
      </c>
      <c r="B7" s="16" t="s">
        <v>16</v>
      </c>
      <c r="C7" s="17" t="s">
        <v>68</v>
      </c>
      <c r="D7" s="21" t="s">
        <v>5</v>
      </c>
      <c r="E7" s="16" t="s">
        <v>69</v>
      </c>
      <c r="F7" s="16" t="s">
        <v>70</v>
      </c>
      <c r="G7" s="16" t="s">
        <v>71</v>
      </c>
      <c r="H7" s="16" t="s">
        <v>72</v>
      </c>
      <c r="I7" s="19" t="s">
        <v>42</v>
      </c>
      <c r="J7" s="20"/>
    </row>
    <row r="8" customFormat="false" ht="23.85" hidden="false" customHeight="false" outlineLevel="0" collapsed="false">
      <c r="A8" s="15" t="s">
        <v>73</v>
      </c>
      <c r="B8" s="16" t="s">
        <v>16</v>
      </c>
      <c r="C8" s="17" t="s">
        <v>74</v>
      </c>
      <c r="D8" s="22" t="s">
        <v>7</v>
      </c>
      <c r="E8" s="16" t="s">
        <v>75</v>
      </c>
      <c r="F8" s="16" t="s">
        <v>76</v>
      </c>
      <c r="G8" s="16"/>
      <c r="H8" s="16" t="s">
        <v>72</v>
      </c>
      <c r="I8" s="19" t="s">
        <v>42</v>
      </c>
      <c r="J8" s="20"/>
    </row>
    <row r="9" customFormat="false" ht="35.05" hidden="false" customHeight="false" outlineLevel="0" collapsed="false">
      <c r="A9" s="15" t="s">
        <v>77</v>
      </c>
      <c r="B9" s="16" t="s">
        <v>16</v>
      </c>
      <c r="C9" s="17" t="s">
        <v>78</v>
      </c>
      <c r="D9" s="21" t="s">
        <v>5</v>
      </c>
      <c r="E9" s="16" t="s">
        <v>79</v>
      </c>
      <c r="F9" s="16" t="s">
        <v>80</v>
      </c>
      <c r="G9" s="16"/>
      <c r="H9" s="16" t="s">
        <v>72</v>
      </c>
      <c r="I9" s="19" t="s">
        <v>42</v>
      </c>
      <c r="J9" s="20"/>
    </row>
    <row r="10" customFormat="false" ht="35.05" hidden="false" customHeight="false" outlineLevel="0" collapsed="false">
      <c r="A10" s="15" t="s">
        <v>81</v>
      </c>
      <c r="B10" s="16" t="s">
        <v>16</v>
      </c>
      <c r="C10" s="17" t="s">
        <v>82</v>
      </c>
      <c r="D10" s="21" t="s">
        <v>5</v>
      </c>
      <c r="E10" s="16" t="s">
        <v>83</v>
      </c>
      <c r="F10" s="16" t="s">
        <v>84</v>
      </c>
      <c r="G10" s="16" t="s">
        <v>85</v>
      </c>
      <c r="H10" s="16" t="s">
        <v>86</v>
      </c>
      <c r="I10" s="19" t="s">
        <v>42</v>
      </c>
      <c r="J10" s="20"/>
    </row>
    <row r="11" customFormat="false" ht="35.05" hidden="false" customHeight="false" outlineLevel="0" collapsed="false">
      <c r="A11" s="15" t="s">
        <v>87</v>
      </c>
      <c r="B11" s="16" t="s">
        <v>16</v>
      </c>
      <c r="C11" s="17" t="s">
        <v>88</v>
      </c>
      <c r="D11" s="22" t="s">
        <v>7</v>
      </c>
      <c r="E11" s="16" t="s">
        <v>89</v>
      </c>
      <c r="F11" s="16" t="s">
        <v>90</v>
      </c>
      <c r="G11" s="16"/>
      <c r="H11" s="16" t="s">
        <v>91</v>
      </c>
      <c r="I11" s="19" t="s">
        <v>42</v>
      </c>
      <c r="J11" s="20"/>
    </row>
    <row r="12" customFormat="false" ht="23.85" hidden="false" customHeight="false" outlineLevel="0" collapsed="false">
      <c r="A12" s="15" t="s">
        <v>92</v>
      </c>
      <c r="B12" s="16" t="s">
        <v>16</v>
      </c>
      <c r="C12" s="17" t="s">
        <v>93</v>
      </c>
      <c r="D12" s="22" t="s">
        <v>7</v>
      </c>
      <c r="E12" s="16" t="s">
        <v>94</v>
      </c>
      <c r="F12" s="16" t="s">
        <v>95</v>
      </c>
      <c r="G12" s="16"/>
      <c r="H12" s="16" t="s">
        <v>72</v>
      </c>
      <c r="I12" s="19" t="s">
        <v>42</v>
      </c>
      <c r="J12" s="20"/>
    </row>
    <row r="13" customFormat="false" ht="35.05" hidden="false" customHeight="false" outlineLevel="0" collapsed="false">
      <c r="A13" s="15" t="s">
        <v>96</v>
      </c>
      <c r="B13" s="16" t="s">
        <v>16</v>
      </c>
      <c r="C13" s="17" t="s">
        <v>97</v>
      </c>
      <c r="D13" s="22" t="s">
        <v>7</v>
      </c>
      <c r="E13" s="16" t="s">
        <v>98</v>
      </c>
      <c r="F13" s="16" t="s">
        <v>99</v>
      </c>
      <c r="G13" s="16"/>
      <c r="H13" s="16" t="s">
        <v>86</v>
      </c>
      <c r="I13" s="19" t="s">
        <v>42</v>
      </c>
      <c r="J13" s="20"/>
    </row>
    <row r="14" customFormat="false" ht="23.85" hidden="false" customHeight="false" outlineLevel="0" collapsed="false">
      <c r="A14" s="15" t="s">
        <v>100</v>
      </c>
      <c r="B14" s="16" t="s">
        <v>16</v>
      </c>
      <c r="C14" s="17" t="s">
        <v>101</v>
      </c>
      <c r="D14" s="22" t="s">
        <v>7</v>
      </c>
      <c r="E14" s="16" t="s">
        <v>102</v>
      </c>
      <c r="F14" s="16" t="s">
        <v>103</v>
      </c>
      <c r="G14" s="16"/>
      <c r="H14" s="16" t="s">
        <v>86</v>
      </c>
      <c r="I14" s="19" t="s">
        <v>42</v>
      </c>
      <c r="J14" s="20"/>
    </row>
    <row r="15" customFormat="false" ht="23.85" hidden="false" customHeight="false" outlineLevel="0" collapsed="false">
      <c r="A15" s="15" t="s">
        <v>104</v>
      </c>
      <c r="B15" s="16" t="s">
        <v>16</v>
      </c>
      <c r="C15" s="17" t="s">
        <v>105</v>
      </c>
      <c r="D15" s="23" t="s">
        <v>9</v>
      </c>
      <c r="E15" s="16" t="s">
        <v>106</v>
      </c>
      <c r="F15" s="16" t="s">
        <v>107</v>
      </c>
      <c r="G15" s="16"/>
      <c r="H15" s="16" t="s">
        <v>108</v>
      </c>
      <c r="I15" s="19" t="s">
        <v>42</v>
      </c>
      <c r="J15" s="20"/>
    </row>
    <row r="16" customFormat="false" ht="46.25" hidden="false" customHeight="false" outlineLevel="0" collapsed="false">
      <c r="A16" s="15" t="s">
        <v>109</v>
      </c>
      <c r="B16" s="16" t="s">
        <v>17</v>
      </c>
      <c r="C16" s="17" t="s">
        <v>110</v>
      </c>
      <c r="D16" s="21" t="s">
        <v>5</v>
      </c>
      <c r="E16" s="16" t="s">
        <v>111</v>
      </c>
      <c r="F16" s="16" t="s">
        <v>112</v>
      </c>
      <c r="G16" s="16" t="s">
        <v>113</v>
      </c>
      <c r="H16" s="16" t="s">
        <v>114</v>
      </c>
      <c r="I16" s="19" t="s">
        <v>42</v>
      </c>
      <c r="J16" s="20"/>
    </row>
    <row r="17" customFormat="false" ht="35.05" hidden="false" customHeight="false" outlineLevel="0" collapsed="false">
      <c r="A17" s="15" t="s">
        <v>115</v>
      </c>
      <c r="B17" s="16" t="s">
        <v>17</v>
      </c>
      <c r="C17" s="17" t="s">
        <v>116</v>
      </c>
      <c r="D17" s="21" t="s">
        <v>5</v>
      </c>
      <c r="E17" s="16" t="s">
        <v>117</v>
      </c>
      <c r="F17" s="16" t="s">
        <v>118</v>
      </c>
      <c r="G17" s="16"/>
      <c r="H17" s="16" t="s">
        <v>119</v>
      </c>
      <c r="I17" s="19" t="s">
        <v>42</v>
      </c>
      <c r="J17" s="20"/>
    </row>
    <row r="18" customFormat="false" ht="35.05" hidden="false" customHeight="false" outlineLevel="0" collapsed="false">
      <c r="A18" s="15" t="s">
        <v>120</v>
      </c>
      <c r="B18" s="16" t="s">
        <v>17</v>
      </c>
      <c r="C18" s="17" t="s">
        <v>121</v>
      </c>
      <c r="D18" s="21" t="s">
        <v>5</v>
      </c>
      <c r="E18" s="16" t="s">
        <v>122</v>
      </c>
      <c r="F18" s="16" t="s">
        <v>123</v>
      </c>
      <c r="G18" s="16" t="s">
        <v>124</v>
      </c>
      <c r="H18" s="16" t="s">
        <v>125</v>
      </c>
      <c r="I18" s="19" t="s">
        <v>42</v>
      </c>
      <c r="J18" s="20"/>
    </row>
    <row r="19" customFormat="false" ht="23.85" hidden="false" customHeight="false" outlineLevel="0" collapsed="false">
      <c r="A19" s="15" t="s">
        <v>126</v>
      </c>
      <c r="B19" s="16" t="s">
        <v>17</v>
      </c>
      <c r="C19" s="17" t="s">
        <v>127</v>
      </c>
      <c r="D19" s="21" t="s">
        <v>5</v>
      </c>
      <c r="E19" s="16" t="s">
        <v>128</v>
      </c>
      <c r="F19" s="16" t="s">
        <v>129</v>
      </c>
      <c r="G19" s="16"/>
      <c r="H19" s="16" t="s">
        <v>72</v>
      </c>
      <c r="I19" s="19" t="s">
        <v>42</v>
      </c>
      <c r="J19" s="20"/>
    </row>
    <row r="20" customFormat="false" ht="57.45" hidden="false" customHeight="false" outlineLevel="0" collapsed="false">
      <c r="A20" s="15" t="s">
        <v>130</v>
      </c>
      <c r="B20" s="16" t="s">
        <v>17</v>
      </c>
      <c r="C20" s="17" t="s">
        <v>131</v>
      </c>
      <c r="D20" s="22" t="s">
        <v>7</v>
      </c>
      <c r="E20" s="16" t="s">
        <v>132</v>
      </c>
      <c r="F20" s="16" t="s">
        <v>133</v>
      </c>
      <c r="G20" s="16"/>
      <c r="H20" s="16" t="s">
        <v>86</v>
      </c>
      <c r="I20" s="19" t="s">
        <v>42</v>
      </c>
      <c r="J20" s="20"/>
    </row>
    <row r="21" customFormat="false" ht="35.05" hidden="false" customHeight="false" outlineLevel="0" collapsed="false">
      <c r="A21" s="15" t="s">
        <v>134</v>
      </c>
      <c r="B21" s="16" t="s">
        <v>17</v>
      </c>
      <c r="C21" s="17" t="s">
        <v>135</v>
      </c>
      <c r="D21" s="22" t="s">
        <v>7</v>
      </c>
      <c r="E21" s="16" t="s">
        <v>136</v>
      </c>
      <c r="F21" s="16" t="s">
        <v>137</v>
      </c>
      <c r="G21" s="16"/>
      <c r="H21" s="16" t="s">
        <v>86</v>
      </c>
      <c r="I21" s="19" t="s">
        <v>42</v>
      </c>
      <c r="J21" s="20"/>
    </row>
    <row r="22" customFormat="false" ht="57.45" hidden="false" customHeight="false" outlineLevel="0" collapsed="false">
      <c r="A22" s="15" t="s">
        <v>138</v>
      </c>
      <c r="B22" s="16" t="s">
        <v>17</v>
      </c>
      <c r="C22" s="17" t="s">
        <v>139</v>
      </c>
      <c r="D22" s="22" t="s">
        <v>7</v>
      </c>
      <c r="E22" s="16" t="s">
        <v>140</v>
      </c>
      <c r="F22" s="16" t="s">
        <v>141</v>
      </c>
      <c r="G22" s="16"/>
      <c r="H22" s="16" t="s">
        <v>72</v>
      </c>
      <c r="I22" s="19" t="s">
        <v>42</v>
      </c>
      <c r="J22" s="20"/>
    </row>
    <row r="23" customFormat="false" ht="46.25" hidden="false" customHeight="false" outlineLevel="0" collapsed="false">
      <c r="A23" s="15" t="s">
        <v>142</v>
      </c>
      <c r="B23" s="16" t="s">
        <v>17</v>
      </c>
      <c r="C23" s="17" t="s">
        <v>143</v>
      </c>
      <c r="D23" s="23" t="s">
        <v>9</v>
      </c>
      <c r="E23" s="16" t="s">
        <v>144</v>
      </c>
      <c r="F23" s="16" t="s">
        <v>145</v>
      </c>
      <c r="G23" s="16"/>
      <c r="H23" s="16" t="s">
        <v>72</v>
      </c>
      <c r="I23" s="19" t="s">
        <v>42</v>
      </c>
      <c r="J23" s="20"/>
    </row>
    <row r="24" customFormat="false" ht="23.85" hidden="false" customHeight="false" outlineLevel="0" collapsed="false">
      <c r="A24" s="15" t="s">
        <v>146</v>
      </c>
      <c r="B24" s="16" t="s">
        <v>17</v>
      </c>
      <c r="C24" s="17" t="s">
        <v>147</v>
      </c>
      <c r="D24" s="22" t="s">
        <v>7</v>
      </c>
      <c r="E24" s="16" t="s">
        <v>148</v>
      </c>
      <c r="F24" s="16" t="s">
        <v>149</v>
      </c>
      <c r="G24" s="16"/>
      <c r="H24" s="16" t="s">
        <v>150</v>
      </c>
      <c r="I24" s="19" t="s">
        <v>42</v>
      </c>
      <c r="J24" s="20"/>
    </row>
    <row r="25" customFormat="false" ht="23.85" hidden="false" customHeight="false" outlineLevel="0" collapsed="false">
      <c r="A25" s="15" t="s">
        <v>151</v>
      </c>
      <c r="B25" s="16" t="s">
        <v>17</v>
      </c>
      <c r="C25" s="17" t="s">
        <v>152</v>
      </c>
      <c r="D25" s="22" t="s">
        <v>7</v>
      </c>
      <c r="E25" s="16" t="s">
        <v>153</v>
      </c>
      <c r="F25" s="16" t="s">
        <v>154</v>
      </c>
      <c r="G25" s="16"/>
      <c r="H25" s="16" t="s">
        <v>86</v>
      </c>
      <c r="I25" s="19" t="s">
        <v>42</v>
      </c>
      <c r="J25" s="20"/>
    </row>
    <row r="26" customFormat="false" ht="35.05" hidden="false" customHeight="false" outlineLevel="0" collapsed="false">
      <c r="A26" s="15" t="s">
        <v>155</v>
      </c>
      <c r="B26" s="16" t="s">
        <v>17</v>
      </c>
      <c r="C26" s="17" t="s">
        <v>156</v>
      </c>
      <c r="D26" s="23" t="s">
        <v>9</v>
      </c>
      <c r="E26" s="16" t="s">
        <v>157</v>
      </c>
      <c r="F26" s="16" t="s">
        <v>158</v>
      </c>
      <c r="G26" s="16"/>
      <c r="H26" s="16" t="s">
        <v>72</v>
      </c>
      <c r="I26" s="19" t="s">
        <v>42</v>
      </c>
      <c r="J26" s="20"/>
    </row>
    <row r="27" customFormat="false" ht="23.85" hidden="false" customHeight="false" outlineLevel="0" collapsed="false">
      <c r="A27" s="15" t="s">
        <v>159</v>
      </c>
      <c r="B27" s="16" t="s">
        <v>18</v>
      </c>
      <c r="C27" s="17" t="s">
        <v>160</v>
      </c>
      <c r="D27" s="21" t="s">
        <v>5</v>
      </c>
      <c r="E27" s="16" t="s">
        <v>161</v>
      </c>
      <c r="F27" s="16" t="s">
        <v>162</v>
      </c>
      <c r="G27" s="16" t="s">
        <v>163</v>
      </c>
      <c r="H27" s="16" t="s">
        <v>164</v>
      </c>
      <c r="I27" s="19" t="s">
        <v>42</v>
      </c>
      <c r="J27" s="20"/>
    </row>
    <row r="28" customFormat="false" ht="35.05" hidden="false" customHeight="false" outlineLevel="0" collapsed="false">
      <c r="A28" s="15" t="s">
        <v>165</v>
      </c>
      <c r="B28" s="16" t="s">
        <v>18</v>
      </c>
      <c r="C28" s="17" t="s">
        <v>166</v>
      </c>
      <c r="D28" s="21" t="s">
        <v>5</v>
      </c>
      <c r="E28" s="16" t="s">
        <v>167</v>
      </c>
      <c r="F28" s="16" t="s">
        <v>168</v>
      </c>
      <c r="G28" s="16"/>
      <c r="H28" s="16" t="s">
        <v>86</v>
      </c>
      <c r="I28" s="19" t="s">
        <v>42</v>
      </c>
      <c r="J28" s="20"/>
    </row>
    <row r="29" customFormat="false" ht="23.85" hidden="false" customHeight="false" outlineLevel="0" collapsed="false">
      <c r="A29" s="15" t="s">
        <v>169</v>
      </c>
      <c r="B29" s="16" t="s">
        <v>18</v>
      </c>
      <c r="C29" s="17" t="s">
        <v>170</v>
      </c>
      <c r="D29" s="21" t="s">
        <v>5</v>
      </c>
      <c r="E29" s="16" t="s">
        <v>171</v>
      </c>
      <c r="F29" s="16" t="s">
        <v>172</v>
      </c>
      <c r="G29" s="16"/>
      <c r="H29" s="16" t="s">
        <v>86</v>
      </c>
      <c r="I29" s="19" t="s">
        <v>42</v>
      </c>
      <c r="J29" s="20"/>
    </row>
    <row r="30" customFormat="false" ht="35.05" hidden="false" customHeight="false" outlineLevel="0" collapsed="false">
      <c r="A30" s="15" t="s">
        <v>173</v>
      </c>
      <c r="B30" s="16" t="s">
        <v>18</v>
      </c>
      <c r="C30" s="17" t="s">
        <v>174</v>
      </c>
      <c r="D30" s="21" t="s">
        <v>5</v>
      </c>
      <c r="E30" s="16" t="s">
        <v>175</v>
      </c>
      <c r="F30" s="16" t="s">
        <v>176</v>
      </c>
      <c r="G30" s="16" t="s">
        <v>177</v>
      </c>
      <c r="H30" s="16" t="s">
        <v>86</v>
      </c>
      <c r="I30" s="19" t="s">
        <v>42</v>
      </c>
      <c r="J30" s="20"/>
    </row>
    <row r="31" customFormat="false" ht="23.85" hidden="false" customHeight="false" outlineLevel="0" collapsed="false">
      <c r="A31" s="15" t="s">
        <v>178</v>
      </c>
      <c r="B31" s="16" t="s">
        <v>18</v>
      </c>
      <c r="C31" s="17" t="s">
        <v>179</v>
      </c>
      <c r="D31" s="22" t="s">
        <v>7</v>
      </c>
      <c r="E31" s="16" t="s">
        <v>180</v>
      </c>
      <c r="F31" s="16" t="s">
        <v>181</v>
      </c>
      <c r="G31" s="16"/>
      <c r="H31" s="16" t="s">
        <v>86</v>
      </c>
      <c r="I31" s="19" t="s">
        <v>42</v>
      </c>
      <c r="J31" s="20"/>
    </row>
    <row r="32" customFormat="false" ht="35.05" hidden="false" customHeight="false" outlineLevel="0" collapsed="false">
      <c r="A32" s="15" t="s">
        <v>182</v>
      </c>
      <c r="B32" s="16" t="s">
        <v>18</v>
      </c>
      <c r="C32" s="17" t="s">
        <v>183</v>
      </c>
      <c r="D32" s="22" t="s">
        <v>7</v>
      </c>
      <c r="E32" s="16" t="s">
        <v>184</v>
      </c>
      <c r="F32" s="16" t="s">
        <v>185</v>
      </c>
      <c r="G32" s="16"/>
      <c r="H32" s="16" t="s">
        <v>86</v>
      </c>
      <c r="I32" s="19" t="s">
        <v>42</v>
      </c>
      <c r="J32" s="20"/>
    </row>
    <row r="33" customFormat="false" ht="35.05" hidden="false" customHeight="false" outlineLevel="0" collapsed="false">
      <c r="A33" s="15" t="s">
        <v>186</v>
      </c>
      <c r="B33" s="16" t="s">
        <v>18</v>
      </c>
      <c r="C33" s="17" t="s">
        <v>187</v>
      </c>
      <c r="D33" s="22" t="s">
        <v>7</v>
      </c>
      <c r="E33" s="16" t="s">
        <v>188</v>
      </c>
      <c r="F33" s="16" t="s">
        <v>189</v>
      </c>
      <c r="G33" s="16"/>
      <c r="H33" s="16" t="s">
        <v>190</v>
      </c>
      <c r="I33" s="19" t="s">
        <v>42</v>
      </c>
      <c r="J33" s="20"/>
    </row>
    <row r="34" customFormat="false" ht="46.25" hidden="false" customHeight="false" outlineLevel="0" collapsed="false">
      <c r="A34" s="15" t="s">
        <v>191</v>
      </c>
      <c r="B34" s="16" t="s">
        <v>18</v>
      </c>
      <c r="C34" s="17" t="s">
        <v>192</v>
      </c>
      <c r="D34" s="22" t="s">
        <v>7</v>
      </c>
      <c r="E34" s="16" t="s">
        <v>193</v>
      </c>
      <c r="F34" s="16" t="s">
        <v>194</v>
      </c>
      <c r="G34" s="16"/>
      <c r="H34" s="16" t="s">
        <v>86</v>
      </c>
      <c r="I34" s="19" t="s">
        <v>42</v>
      </c>
      <c r="J34" s="20"/>
    </row>
    <row r="35" customFormat="false" ht="35.05" hidden="false" customHeight="false" outlineLevel="0" collapsed="false">
      <c r="A35" s="15" t="s">
        <v>195</v>
      </c>
      <c r="B35" s="16" t="s">
        <v>18</v>
      </c>
      <c r="C35" s="17" t="s">
        <v>196</v>
      </c>
      <c r="D35" s="22" t="s">
        <v>7</v>
      </c>
      <c r="E35" s="16" t="s">
        <v>197</v>
      </c>
      <c r="F35" s="16" t="s">
        <v>198</v>
      </c>
      <c r="G35" s="16" t="s">
        <v>199</v>
      </c>
      <c r="H35" s="16" t="s">
        <v>72</v>
      </c>
      <c r="I35" s="19" t="s">
        <v>42</v>
      </c>
      <c r="J35" s="20"/>
    </row>
    <row r="36" customFormat="false" ht="23.85" hidden="false" customHeight="false" outlineLevel="0" collapsed="false">
      <c r="A36" s="15" t="s">
        <v>200</v>
      </c>
      <c r="B36" s="16" t="s">
        <v>19</v>
      </c>
      <c r="C36" s="17" t="s">
        <v>201</v>
      </c>
      <c r="D36" s="21" t="s">
        <v>5</v>
      </c>
      <c r="E36" s="16" t="s">
        <v>202</v>
      </c>
      <c r="F36" s="16" t="s">
        <v>203</v>
      </c>
      <c r="G36" s="16" t="s">
        <v>204</v>
      </c>
      <c r="H36" s="16" t="s">
        <v>86</v>
      </c>
      <c r="I36" s="19" t="s">
        <v>42</v>
      </c>
      <c r="J36" s="20"/>
    </row>
    <row r="37" customFormat="false" ht="35.05" hidden="false" customHeight="false" outlineLevel="0" collapsed="false">
      <c r="A37" s="15" t="s">
        <v>205</v>
      </c>
      <c r="B37" s="16" t="s">
        <v>19</v>
      </c>
      <c r="C37" s="17" t="s">
        <v>206</v>
      </c>
      <c r="D37" s="21" t="s">
        <v>5</v>
      </c>
      <c r="E37" s="16" t="s">
        <v>207</v>
      </c>
      <c r="F37" s="16" t="s">
        <v>208</v>
      </c>
      <c r="G37" s="16"/>
      <c r="H37" s="16" t="s">
        <v>209</v>
      </c>
      <c r="I37" s="19" t="s">
        <v>42</v>
      </c>
      <c r="J37" s="20"/>
    </row>
    <row r="38" customFormat="false" ht="23.85" hidden="false" customHeight="false" outlineLevel="0" collapsed="false">
      <c r="A38" s="15" t="s">
        <v>210</v>
      </c>
      <c r="B38" s="16" t="s">
        <v>19</v>
      </c>
      <c r="C38" s="17" t="s">
        <v>211</v>
      </c>
      <c r="D38" s="22" t="s">
        <v>7</v>
      </c>
      <c r="E38" s="16" t="s">
        <v>212</v>
      </c>
      <c r="F38" s="16" t="s">
        <v>213</v>
      </c>
      <c r="G38" s="16"/>
      <c r="H38" s="16" t="s">
        <v>86</v>
      </c>
      <c r="I38" s="19" t="s">
        <v>42</v>
      </c>
      <c r="J38" s="20"/>
    </row>
    <row r="39" customFormat="false" ht="23.85" hidden="false" customHeight="false" outlineLevel="0" collapsed="false">
      <c r="A39" s="15" t="s">
        <v>214</v>
      </c>
      <c r="B39" s="16" t="s">
        <v>19</v>
      </c>
      <c r="C39" s="17" t="s">
        <v>215</v>
      </c>
      <c r="D39" s="21" t="s">
        <v>5</v>
      </c>
      <c r="E39" s="16" t="s">
        <v>216</v>
      </c>
      <c r="F39" s="16" t="s">
        <v>217</v>
      </c>
      <c r="G39" s="16"/>
      <c r="H39" s="16" t="s">
        <v>72</v>
      </c>
      <c r="I39" s="19" t="s">
        <v>42</v>
      </c>
      <c r="J39" s="20"/>
    </row>
    <row r="40" customFormat="false" ht="23.85" hidden="false" customHeight="false" outlineLevel="0" collapsed="false">
      <c r="A40" s="15" t="s">
        <v>218</v>
      </c>
      <c r="B40" s="16" t="s">
        <v>19</v>
      </c>
      <c r="C40" s="17" t="s">
        <v>219</v>
      </c>
      <c r="D40" s="22" t="s">
        <v>7</v>
      </c>
      <c r="E40" s="16" t="s">
        <v>220</v>
      </c>
      <c r="F40" s="16" t="s">
        <v>221</v>
      </c>
      <c r="G40" s="16"/>
      <c r="H40" s="16" t="s">
        <v>86</v>
      </c>
      <c r="I40" s="19" t="s">
        <v>42</v>
      </c>
      <c r="J40" s="20"/>
    </row>
    <row r="41" customFormat="false" ht="23.85" hidden="false" customHeight="false" outlineLevel="0" collapsed="false">
      <c r="A41" s="15" t="s">
        <v>222</v>
      </c>
      <c r="B41" s="16" t="s">
        <v>19</v>
      </c>
      <c r="C41" s="17" t="s">
        <v>223</v>
      </c>
      <c r="D41" s="22" t="s">
        <v>7</v>
      </c>
      <c r="E41" s="16" t="s">
        <v>224</v>
      </c>
      <c r="F41" s="16" t="s">
        <v>225</v>
      </c>
      <c r="G41" s="16"/>
      <c r="H41" s="16" t="s">
        <v>86</v>
      </c>
      <c r="I41" s="19" t="s">
        <v>42</v>
      </c>
      <c r="J41" s="20"/>
    </row>
    <row r="43" customFormat="false" ht="15" hidden="false" customHeight="false" outlineLevel="0" collapsed="false">
      <c r="A43" s="24" t="s">
        <v>226</v>
      </c>
    </row>
  </sheetData>
  <autoFilter ref="A1:J41"/>
  <dataValidations count="1">
    <dataValidation allowBlank="true" errorStyle="stop" operator="between" showDropDown="false" showErrorMessage="false" showInputMessage="false" sqref="I2:I41" type="list">
      <formula1>"Chưa làm,Đang làm,Đã xong,Không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15" hidden="false" customHeight="false" outlineLevel="0" collapsed="false">
      <c r="A1" s="25" t="s">
        <v>28</v>
      </c>
      <c r="B1" s="25" t="s">
        <v>227</v>
      </c>
    </row>
    <row r="2" customFormat="false" ht="15" hidden="false" customHeight="false" outlineLevel="0" collapsed="false">
      <c r="A2" s="26" t="s">
        <v>228</v>
      </c>
      <c r="B2" s="27" t="s">
        <v>229</v>
      </c>
    </row>
    <row r="3" customFormat="false" ht="15" hidden="false" customHeight="false" outlineLevel="0" collapsed="false">
      <c r="A3" s="26" t="s">
        <v>230</v>
      </c>
      <c r="B3" s="27" t="s">
        <v>231</v>
      </c>
    </row>
    <row r="4" customFormat="false" ht="15" hidden="false" customHeight="false" outlineLevel="0" collapsed="false">
      <c r="A4" s="26" t="s">
        <v>232</v>
      </c>
      <c r="B4" s="27" t="s">
        <v>233</v>
      </c>
    </row>
    <row r="5" customFormat="false" ht="15" hidden="false" customHeight="false" outlineLevel="0" collapsed="false">
      <c r="A5" s="26" t="s">
        <v>234</v>
      </c>
      <c r="B5" s="27" t="s">
        <v>235</v>
      </c>
    </row>
    <row r="6" customFormat="false" ht="15" hidden="false" customHeight="false" outlineLevel="0" collapsed="false">
      <c r="A6" s="26" t="s">
        <v>236</v>
      </c>
      <c r="B6" s="27" t="s">
        <v>237</v>
      </c>
    </row>
    <row r="7" customFormat="false" ht="15" hidden="false" customHeight="false" outlineLevel="0" collapsed="false">
      <c r="A7" s="26" t="s">
        <v>238</v>
      </c>
      <c r="B7" s="27" t="s">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2026-10-29T01:30:51Z</dcterms:created>
  <dc:creator>openpyxl</dc:creator>
  <dc:description/>
  <dc:language>en-US</dc:language>
  <cp:lastModifiedBy/>
  <dcterms:modified xsi:type="dcterms:W3CDTF">2026-10-29T01:30:51Z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